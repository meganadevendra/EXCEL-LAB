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57651554d9b936/Desktop/Adv-Excel/"/>
    </mc:Choice>
  </mc:AlternateContent>
  <xr:revisionPtr revIDLastSave="269" documentId="8_{A6954B19-9978-4F32-8389-CD3C685F36E0}" xr6:coauthVersionLast="47" xr6:coauthVersionMax="47" xr10:uidLastSave="{66C9BBBE-E330-4388-8905-6E34171C35B2}"/>
  <bookViews>
    <workbookView xWindow="-110" yWindow="-110" windowWidth="19420" windowHeight="11500" activeTab="7" xr2:uid="{DDE4D070-CE27-48AD-99ED-D9C91D9750B6}"/>
  </bookViews>
  <sheets>
    <sheet name="Sheet1" sheetId="1" r:id="rId1"/>
    <sheet name="Sheet2" sheetId="2" r:id="rId2"/>
    <sheet name="Sem 1" sheetId="3" r:id="rId3"/>
    <sheet name="Sem 2" sheetId="4" r:id="rId4"/>
    <sheet name="Consolidation" sheetId="5" r:id="rId5"/>
    <sheet name="Text_function" sheetId="6" r:id="rId6"/>
    <sheet name="Sheet3" sheetId="7" r:id="rId7"/>
    <sheet name="Sheet4" sheetId="8" r:id="rId8"/>
  </sheets>
  <definedNames>
    <definedName name="costs">Sheet3!$D$4:$D$6</definedName>
    <definedName name="ingredients">Sheet3!$B$8</definedName>
    <definedName name="overheads">Sheet3!$B$10</definedName>
    <definedName name="revenue">Sheet3!$C$4:$C$6</definedName>
    <definedName name="saleprice">Sheet3!$B$9</definedName>
    <definedName name="sales">Sheet3!$B$4:$B$6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" l="1"/>
  <c r="B15" i="6"/>
  <c r="B14" i="6"/>
  <c r="B13" i="6"/>
  <c r="B12" i="6"/>
  <c r="B11" i="6"/>
  <c r="B7" i="6"/>
  <c r="B9" i="6"/>
  <c r="B8" i="6"/>
  <c r="D4" i="7" a="1"/>
  <c r="C4" i="7" a="1"/>
  <c r="B6" i="6"/>
  <c r="B5" i="6"/>
  <c r="B4" i="6"/>
  <c r="D3" i="6"/>
  <c r="C3" i="6"/>
  <c r="B3" i="6"/>
  <c r="B2" i="6"/>
  <c r="B1" i="6"/>
  <c r="A1" i="2"/>
  <c r="G2" i="1"/>
  <c r="G3" i="1"/>
  <c r="G4" i="1"/>
  <c r="G1" i="1"/>
  <c r="B1" i="1"/>
  <c r="F2" i="1"/>
  <c r="F3" i="1"/>
  <c r="F4" i="1"/>
  <c r="F1" i="1"/>
  <c r="E4" i="7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<sst xmlns="http://schemas.openxmlformats.org/spreadsheetml/2006/main" count="134" uniqueCount="94">
  <si>
    <t>stu1</t>
  </si>
  <si>
    <t>stu2</t>
  </si>
  <si>
    <t>stu3</t>
  </si>
  <si>
    <t>stu4</t>
  </si>
  <si>
    <t>stu5</t>
  </si>
  <si>
    <t>stu6</t>
  </si>
  <si>
    <t>stu7</t>
  </si>
  <si>
    <t>stu8</t>
  </si>
  <si>
    <t>Sub 1</t>
  </si>
  <si>
    <t>Sub 2</t>
  </si>
  <si>
    <t>Sub 3</t>
  </si>
  <si>
    <t>Student</t>
  </si>
  <si>
    <t>Sem1  &amp; Sem2 Result</t>
  </si>
  <si>
    <t>LEN</t>
  </si>
  <si>
    <t>Concate</t>
  </si>
  <si>
    <t>Trim</t>
  </si>
  <si>
    <t xml:space="preserve">     MEGANA   </t>
  </si>
  <si>
    <t>Right</t>
  </si>
  <si>
    <t>Left</t>
  </si>
  <si>
    <t>Mid</t>
  </si>
  <si>
    <t>Town Centre lunctime</t>
  </si>
  <si>
    <t>Sales</t>
  </si>
  <si>
    <t>Revenue</t>
  </si>
  <si>
    <t>Costs</t>
  </si>
  <si>
    <t>Profit</t>
  </si>
  <si>
    <t>Ingredients</t>
  </si>
  <si>
    <t>Sale price</t>
  </si>
  <si>
    <t>Overheads</t>
  </si>
  <si>
    <t>Weekend Cycle Trails</t>
  </si>
  <si>
    <t>Outside Football Matches</t>
  </si>
  <si>
    <t>Basic Business Plan For The Cycling Muffin Man-First Month</t>
  </si>
  <si>
    <t>Revenue=sales*sale price</t>
  </si>
  <si>
    <t>Costs=(Ingredients * sales)+(overheads* Sales price)</t>
  </si>
  <si>
    <t>Profit=Revenue - Costs</t>
  </si>
  <si>
    <t>FORMULA:</t>
  </si>
  <si>
    <t>Replace</t>
  </si>
  <si>
    <t>Upper</t>
  </si>
  <si>
    <t>Lower</t>
  </si>
  <si>
    <t>now</t>
  </si>
  <si>
    <t>today</t>
  </si>
  <si>
    <t>date</t>
  </si>
  <si>
    <t>year</t>
  </si>
  <si>
    <t>month</t>
  </si>
  <si>
    <t>weekday</t>
  </si>
  <si>
    <t>weeknuml</t>
  </si>
  <si>
    <t>datediff</t>
  </si>
  <si>
    <t>text</t>
  </si>
  <si>
    <t>mon</t>
  </si>
  <si>
    <t>tue</t>
  </si>
  <si>
    <t>wed</t>
  </si>
  <si>
    <t>thu</t>
  </si>
  <si>
    <t>fri</t>
  </si>
  <si>
    <t>sat</t>
  </si>
  <si>
    <t>sun</t>
  </si>
  <si>
    <t>priya</t>
  </si>
  <si>
    <t>ammu</t>
  </si>
  <si>
    <t>pavi</t>
  </si>
  <si>
    <t>megana</t>
  </si>
  <si>
    <t>First name</t>
  </si>
  <si>
    <t>Last name</t>
  </si>
  <si>
    <t>Address</t>
  </si>
  <si>
    <t>raj</t>
  </si>
  <si>
    <t>rohit</t>
  </si>
  <si>
    <t>sameer</t>
  </si>
  <si>
    <t>prachi</t>
  </si>
  <si>
    <t>sachin</t>
  </si>
  <si>
    <t>pooja</t>
  </si>
  <si>
    <t>sakshi</t>
  </si>
  <si>
    <t>patil</t>
  </si>
  <si>
    <t>patel</t>
  </si>
  <si>
    <t>yadav</t>
  </si>
  <si>
    <t>mulani</t>
  </si>
  <si>
    <t>savant</t>
  </si>
  <si>
    <t>pawar</t>
  </si>
  <si>
    <t>FullName</t>
  </si>
  <si>
    <t>raj patil</t>
  </si>
  <si>
    <t>rohit patel</t>
  </si>
  <si>
    <t>sameer patil</t>
  </si>
  <si>
    <t>prachi yadav</t>
  </si>
  <si>
    <t>sachin mulani</t>
  </si>
  <si>
    <t>pooja savant</t>
  </si>
  <si>
    <t>sakshi pawar</t>
  </si>
  <si>
    <t>pune-44</t>
  </si>
  <si>
    <t>delhi-22</t>
  </si>
  <si>
    <t>mumbai-55</t>
  </si>
  <si>
    <t>Email</t>
  </si>
  <si>
    <t>raj.patil@itvedant.com</t>
  </si>
  <si>
    <t>rohit.patel@itvedant.com</t>
  </si>
  <si>
    <t>sameer.patil@itvedant.com</t>
  </si>
  <si>
    <t>prachi.yadav@itvedant.com</t>
  </si>
  <si>
    <t>sachin.mulani@itvedant.com</t>
  </si>
  <si>
    <t>pooja.savant@itvedant.com</t>
  </si>
  <si>
    <t>sakshi.pawar@itvedant.com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</si>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</sst>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22" fontId="0" fillId="0" borderId="0" xfId="0" applyNumberForma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0" xfId="0" applyFill="1"/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meer.patil@itvedant.com" TargetMode="External"/><Relationship Id="rId7" Type="http://schemas.openxmlformats.org/officeDocument/2006/relationships/hyperlink" Target="mailto:sakshi.pawar@itvedant.com" TargetMode="External"/><Relationship Id="rId2" Type="http://schemas.openxmlformats.org/officeDocument/2006/relationships/hyperlink" Target="mailto:rohit.patel@itvedant.com" TargetMode="External"/><Relationship Id="rId1" Type="http://schemas.openxmlformats.org/officeDocument/2006/relationships/hyperlink" Target="mailto:raj.patil@itvedant.com" TargetMode="External"/><Relationship Id="rId6" Type="http://schemas.openxmlformats.org/officeDocument/2006/relationships/hyperlink" Target="mailto:pooja.savant@itvedant.com" TargetMode="External"/><Relationship Id="rId5" Type="http://schemas.openxmlformats.org/officeDocument/2006/relationships/hyperlink" Target="mailto:sachin.mulani@itvedant.com" TargetMode="External"/><Relationship Id="rId4" Type="http://schemas.openxmlformats.org/officeDocument/2006/relationships/hyperlink" Target="mailto:prachi.yadav@itved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5E83-53DF-4CDF-BAD3-889EC0E1471E}">
  <dimension ref="A1:H4"/>
  <sheetViews>
    <sheetView zoomScale="141" workbookViewId="0">
      <selection sqref="A1:A4"/>
    </sheetView>
  </sheetViews>
  <sheetFormatPr defaultRowHeight="14.5" x14ac:dyDescent="0.35"/>
  <cols>
    <col min="1" max="1" width="8.7265625" customWidth="1"/>
  </cols>
  <sheetData>
    <row r="1" spans="1:8" x14ac:dyDescent="0.35">
      <c r="A1">
        <v>45</v>
      </c>
      <c r="B1">
        <f>A1+A2+A3+A4</f>
        <v>239</v>
      </c>
      <c r="D1">
        <v>35</v>
      </c>
      <c r="E1">
        <v>23</v>
      </c>
      <c r="F1" s="1">
        <f>D1+E1</f>
        <v>58</v>
      </c>
      <c r="G1">
        <f>E1+$H$1</f>
        <v>33</v>
      </c>
      <c r="H1">
        <v>10</v>
      </c>
    </row>
    <row r="2" spans="1:8" x14ac:dyDescent="0.35">
      <c r="A2">
        <v>76</v>
      </c>
      <c r="D2">
        <v>42</v>
      </c>
      <c r="E2">
        <v>53</v>
      </c>
      <c r="F2" s="1">
        <f t="shared" ref="F2:F4" si="0">D2+E2</f>
        <v>95</v>
      </c>
      <c r="G2">
        <f t="shared" ref="G2:G4" si="1">E2+$H$1</f>
        <v>63</v>
      </c>
    </row>
    <row r="3" spans="1:8" x14ac:dyDescent="0.35">
      <c r="A3">
        <v>88</v>
      </c>
      <c r="D3">
        <v>81</v>
      </c>
      <c r="E3">
        <v>75</v>
      </c>
      <c r="F3" s="1">
        <f t="shared" si="0"/>
        <v>156</v>
      </c>
      <c r="G3">
        <f t="shared" si="1"/>
        <v>85</v>
      </c>
    </row>
    <row r="4" spans="1:8" x14ac:dyDescent="0.35">
      <c r="A4">
        <v>30</v>
      </c>
      <c r="D4">
        <v>21</v>
      </c>
      <c r="E4">
        <v>32</v>
      </c>
      <c r="F4" s="1">
        <f t="shared" si="0"/>
        <v>53</v>
      </c>
      <c r="G4">
        <f t="shared" si="1"/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08EC-72E2-4D19-8CFC-94335BF7F3FA}">
  <dimension ref="A1"/>
  <sheetViews>
    <sheetView workbookViewId="0"/>
  </sheetViews>
  <sheetFormatPr defaultRowHeight="14.5" x14ac:dyDescent="0.35"/>
  <sheetData>
    <row r="1" spans="1:1" x14ac:dyDescent="0.35">
      <c r="A1">
        <f>Sheet1!D1+Sheet1!E1</f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C227-FC93-4BF0-97F8-0EB7D790B16F}">
  <dimension ref="A1:D9"/>
  <sheetViews>
    <sheetView zoomScale="143" workbookViewId="0">
      <selection activeCell="C11" sqref="C11"/>
    </sheetView>
  </sheetViews>
  <sheetFormatPr defaultRowHeight="14.5" x14ac:dyDescent="0.35"/>
  <sheetData>
    <row r="1" spans="1:4" x14ac:dyDescent="0.35">
      <c r="A1" s="1" t="s">
        <v>11</v>
      </c>
      <c r="B1" s="1" t="s">
        <v>8</v>
      </c>
      <c r="C1" s="1" t="s">
        <v>9</v>
      </c>
      <c r="D1" s="1" t="s">
        <v>10</v>
      </c>
    </row>
    <row r="2" spans="1:4" x14ac:dyDescent="0.35">
      <c r="A2" t="s">
        <v>0</v>
      </c>
      <c r="B2">
        <v>25</v>
      </c>
      <c r="C2">
        <v>33</v>
      </c>
      <c r="D2">
        <v>64</v>
      </c>
    </row>
    <row r="3" spans="1:4" x14ac:dyDescent="0.35">
      <c r="A3" t="s">
        <v>1</v>
      </c>
      <c r="B3">
        <v>54</v>
      </c>
      <c r="C3">
        <v>86</v>
      </c>
      <c r="D3">
        <v>74</v>
      </c>
    </row>
    <row r="4" spans="1:4" x14ac:dyDescent="0.35">
      <c r="A4" t="s">
        <v>2</v>
      </c>
      <c r="B4">
        <v>63</v>
      </c>
      <c r="C4">
        <v>64</v>
      </c>
      <c r="D4">
        <v>75</v>
      </c>
    </row>
    <row r="5" spans="1:4" x14ac:dyDescent="0.35">
      <c r="A5" t="s">
        <v>3</v>
      </c>
      <c r="B5">
        <v>35</v>
      </c>
      <c r="C5">
        <v>74</v>
      </c>
      <c r="D5">
        <v>42</v>
      </c>
    </row>
    <row r="6" spans="1:4" x14ac:dyDescent="0.35">
      <c r="A6" t="s">
        <v>4</v>
      </c>
      <c r="B6">
        <v>78</v>
      </c>
      <c r="C6">
        <v>64</v>
      </c>
      <c r="D6">
        <v>86</v>
      </c>
    </row>
    <row r="7" spans="1:4" x14ac:dyDescent="0.35">
      <c r="A7" t="s">
        <v>5</v>
      </c>
      <c r="B7">
        <v>63</v>
      </c>
      <c r="C7">
        <v>23</v>
      </c>
      <c r="D7">
        <v>46</v>
      </c>
    </row>
    <row r="8" spans="1:4" x14ac:dyDescent="0.35">
      <c r="A8" t="s">
        <v>6</v>
      </c>
      <c r="B8">
        <v>42</v>
      </c>
      <c r="C8">
        <v>53</v>
      </c>
      <c r="D8">
        <v>48</v>
      </c>
    </row>
    <row r="9" spans="1:4" x14ac:dyDescent="0.35">
      <c r="A9" t="s">
        <v>7</v>
      </c>
      <c r="B9">
        <v>54</v>
      </c>
      <c r="C9">
        <v>56</v>
      </c>
      <c r="D9">
        <v>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CD10-02A3-4319-A23C-061A906F431D}">
  <dimension ref="A1:D9"/>
  <sheetViews>
    <sheetView zoomScale="147" workbookViewId="0">
      <selection activeCell="D9" sqref="D9"/>
    </sheetView>
  </sheetViews>
  <sheetFormatPr defaultRowHeight="14.5" x14ac:dyDescent="0.35"/>
  <sheetData>
    <row r="1" spans="1:4" x14ac:dyDescent="0.35">
      <c r="A1" s="1" t="s">
        <v>11</v>
      </c>
      <c r="B1" s="1" t="s">
        <v>8</v>
      </c>
      <c r="C1" s="1" t="s">
        <v>9</v>
      </c>
      <c r="D1" s="1" t="s">
        <v>10</v>
      </c>
    </row>
    <row r="2" spans="1:4" x14ac:dyDescent="0.35">
      <c r="A2" t="s">
        <v>0</v>
      </c>
      <c r="B2">
        <v>72</v>
      </c>
      <c r="C2">
        <v>76</v>
      </c>
      <c r="D2">
        <v>46</v>
      </c>
    </row>
    <row r="3" spans="1:4" x14ac:dyDescent="0.35">
      <c r="A3" t="s">
        <v>1</v>
      </c>
      <c r="B3">
        <v>45</v>
      </c>
      <c r="C3">
        <v>64</v>
      </c>
      <c r="D3">
        <v>56</v>
      </c>
    </row>
    <row r="4" spans="1:4" x14ac:dyDescent="0.35">
      <c r="A4" t="s">
        <v>2</v>
      </c>
      <c r="B4">
        <v>53</v>
      </c>
      <c r="C4">
        <v>67</v>
      </c>
      <c r="D4">
        <v>45</v>
      </c>
    </row>
    <row r="5" spans="1:4" x14ac:dyDescent="0.35">
      <c r="A5" t="s">
        <v>3</v>
      </c>
      <c r="B5">
        <v>75</v>
      </c>
      <c r="C5">
        <v>36</v>
      </c>
      <c r="D5">
        <v>34</v>
      </c>
    </row>
    <row r="6" spans="1:4" x14ac:dyDescent="0.35">
      <c r="A6" t="s">
        <v>4</v>
      </c>
      <c r="B6">
        <v>45</v>
      </c>
      <c r="C6">
        <v>75</v>
      </c>
      <c r="D6">
        <v>86</v>
      </c>
    </row>
    <row r="7" spans="1:4" x14ac:dyDescent="0.35">
      <c r="A7" t="s">
        <v>5</v>
      </c>
      <c r="B7">
        <v>67</v>
      </c>
      <c r="C7">
        <v>64</v>
      </c>
      <c r="D7">
        <v>66</v>
      </c>
    </row>
    <row r="8" spans="1:4" x14ac:dyDescent="0.35">
      <c r="A8" t="s">
        <v>6</v>
      </c>
      <c r="B8">
        <v>42</v>
      </c>
      <c r="C8">
        <v>44</v>
      </c>
      <c r="D8">
        <v>53</v>
      </c>
    </row>
    <row r="9" spans="1:4" x14ac:dyDescent="0.35">
      <c r="A9" t="s">
        <v>7</v>
      </c>
      <c r="B9">
        <v>67</v>
      </c>
      <c r="C9">
        <v>76</v>
      </c>
      <c r="D9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5A12-4445-4A8C-B955-15A4D538AD6D}">
  <dimension ref="B1:E10"/>
  <sheetViews>
    <sheetView zoomScale="141" workbookViewId="0">
      <selection activeCell="H8" sqref="H8"/>
    </sheetView>
  </sheetViews>
  <sheetFormatPr defaultRowHeight="14.5" x14ac:dyDescent="0.35"/>
  <sheetData>
    <row r="1" spans="2:5" x14ac:dyDescent="0.35">
      <c r="B1" s="7" t="s">
        <v>12</v>
      </c>
      <c r="C1" s="7"/>
      <c r="D1" s="7"/>
      <c r="E1" s="7"/>
    </row>
    <row r="2" spans="2:5" x14ac:dyDescent="0.35">
      <c r="B2" s="1" t="s">
        <v>11</v>
      </c>
      <c r="C2" s="1" t="s">
        <v>8</v>
      </c>
      <c r="D2" s="1" t="s">
        <v>9</v>
      </c>
      <c r="E2" s="1" t="s">
        <v>10</v>
      </c>
    </row>
    <row r="3" spans="2:5" x14ac:dyDescent="0.35">
      <c r="B3" s="1" t="s">
        <v>0</v>
      </c>
      <c r="C3">
        <v>97</v>
      </c>
      <c r="D3">
        <v>109</v>
      </c>
      <c r="E3">
        <v>110</v>
      </c>
    </row>
    <row r="4" spans="2:5" x14ac:dyDescent="0.35">
      <c r="B4" s="1" t="s">
        <v>1</v>
      </c>
      <c r="C4">
        <v>99</v>
      </c>
      <c r="D4">
        <v>150</v>
      </c>
      <c r="E4">
        <v>130</v>
      </c>
    </row>
    <row r="5" spans="2:5" x14ac:dyDescent="0.35">
      <c r="B5" s="1" t="s">
        <v>2</v>
      </c>
      <c r="C5">
        <v>116</v>
      </c>
      <c r="D5">
        <v>131</v>
      </c>
      <c r="E5">
        <v>120</v>
      </c>
    </row>
    <row r="6" spans="2:5" x14ac:dyDescent="0.35">
      <c r="B6" s="1" t="s">
        <v>3</v>
      </c>
      <c r="C6">
        <v>110</v>
      </c>
      <c r="D6">
        <v>110</v>
      </c>
      <c r="E6">
        <v>76</v>
      </c>
    </row>
    <row r="7" spans="2:5" x14ac:dyDescent="0.35">
      <c r="B7" s="1" t="s">
        <v>4</v>
      </c>
      <c r="C7">
        <v>123</v>
      </c>
      <c r="D7">
        <v>139</v>
      </c>
      <c r="E7">
        <v>172</v>
      </c>
    </row>
    <row r="8" spans="2:5" x14ac:dyDescent="0.35">
      <c r="B8" s="1" t="s">
        <v>5</v>
      </c>
      <c r="C8">
        <v>130</v>
      </c>
      <c r="D8">
        <v>87</v>
      </c>
      <c r="E8">
        <v>112</v>
      </c>
    </row>
    <row r="9" spans="2:5" x14ac:dyDescent="0.35">
      <c r="B9" s="1" t="s">
        <v>6</v>
      </c>
      <c r="C9">
        <v>84</v>
      </c>
      <c r="D9">
        <v>97</v>
      </c>
      <c r="E9">
        <v>101</v>
      </c>
    </row>
    <row r="10" spans="2:5" x14ac:dyDescent="0.35">
      <c r="B10" s="1" t="s">
        <v>7</v>
      </c>
      <c r="C10">
        <v>121</v>
      </c>
      <c r="D10">
        <v>132</v>
      </c>
      <c r="E10">
        <v>119</v>
      </c>
    </row>
  </sheetData>
  <dataConsolidate topLabels="1">
    <dataRefs count="2">
      <dataRef ref="A1:D9" sheet="Sem 1"/>
      <dataRef ref="A1:D9" sheet="Sem 2"/>
    </dataRefs>
  </dataConsolidate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3B92-8702-4E60-9CB0-A84181DB687A}">
  <dimension ref="A1:D18"/>
  <sheetViews>
    <sheetView zoomScale="119" workbookViewId="0">
      <selection activeCell="B14" sqref="B14"/>
    </sheetView>
  </sheetViews>
  <sheetFormatPr defaultRowHeight="14.5" x14ac:dyDescent="0.35"/>
  <cols>
    <col min="2" max="2" width="17.54296875" customWidth="1"/>
    <col min="4" max="4" width="12.36328125" customWidth="1"/>
  </cols>
  <sheetData>
    <row r="1" spans="1:4" x14ac:dyDescent="0.35">
      <c r="A1" s="1" t="s">
        <v>13</v>
      </c>
      <c r="B1">
        <f>LEN("Megana")</f>
        <v>6</v>
      </c>
      <c r="D1" t="s">
        <v>16</v>
      </c>
    </row>
    <row r="2" spans="1:4" x14ac:dyDescent="0.35">
      <c r="A2" s="1" t="s">
        <v>14</v>
      </c>
      <c r="B2" t="str">
        <f>_xlfn.CONCAT("Megana"," ","devendra")</f>
        <v>Megana devendra</v>
      </c>
    </row>
    <row r="3" spans="1:4" x14ac:dyDescent="0.35">
      <c r="A3" s="1" t="s">
        <v>15</v>
      </c>
      <c r="B3" t="str">
        <f>TRIM(D1)</f>
        <v>MEGANA</v>
      </c>
      <c r="C3">
        <f>LEN(B3)</f>
        <v>6</v>
      </c>
      <c r="D3">
        <f>LEN(D1)</f>
        <v>14</v>
      </c>
    </row>
    <row r="4" spans="1:4" x14ac:dyDescent="0.35">
      <c r="A4" s="1" t="s">
        <v>17</v>
      </c>
      <c r="B4" t="str">
        <f>RIGHT("Pavitra",4)</f>
        <v>itra</v>
      </c>
    </row>
    <row r="5" spans="1:4" x14ac:dyDescent="0.35">
      <c r="A5" s="1" t="s">
        <v>18</v>
      </c>
      <c r="B5" t="str">
        <f>LEFT("pavitra",5)</f>
        <v>pavit</v>
      </c>
    </row>
    <row r="6" spans="1:4" x14ac:dyDescent="0.35">
      <c r="A6" s="1" t="s">
        <v>19</v>
      </c>
      <c r="B6" t="str">
        <f>MID("pavitra",3,3)</f>
        <v>vit</v>
      </c>
    </row>
    <row r="7" spans="1:4" x14ac:dyDescent="0.35">
      <c r="A7" s="1" t="s">
        <v>35</v>
      </c>
      <c r="B7" t="str">
        <f>REPLACE("itvedant",1,2,"IT")</f>
        <v>ITvedant</v>
      </c>
    </row>
    <row r="8" spans="1:4" x14ac:dyDescent="0.35">
      <c r="A8" s="1" t="s">
        <v>36</v>
      </c>
      <c r="B8" t="str">
        <f>UPPER("itvedant")</f>
        <v>ITVEDANT</v>
      </c>
    </row>
    <row r="9" spans="1:4" x14ac:dyDescent="0.35">
      <c r="A9" s="1" t="s">
        <v>37</v>
      </c>
      <c r="B9" t="str">
        <f>LOWER("ITVEDANT")</f>
        <v>itvedant</v>
      </c>
    </row>
    <row r="11" spans="1:4" x14ac:dyDescent="0.35">
      <c r="A11" s="1" t="s">
        <v>39</v>
      </c>
      <c r="B11" s="5">
        <f ca="1">TODAY()</f>
        <v>46269</v>
      </c>
    </row>
    <row r="12" spans="1:4" x14ac:dyDescent="0.35">
      <c r="A12" s="1" t="s">
        <v>38</v>
      </c>
      <c r="B12" s="6">
        <f ca="1">NOW()</f>
        <v>46269.743027083336</v>
      </c>
    </row>
    <row r="13" spans="1:4" x14ac:dyDescent="0.35">
      <c r="A13" s="1" t="s">
        <v>40</v>
      </c>
      <c r="B13" s="5">
        <f>DATE(2007,9,8)</f>
        <v>39333</v>
      </c>
    </row>
    <row r="14" spans="1:4" x14ac:dyDescent="0.35">
      <c r="A14" s="1" t="s">
        <v>41</v>
      </c>
      <c r="B14">
        <f>YEAR(B13)</f>
        <v>2007</v>
      </c>
    </row>
    <row r="15" spans="1:4" x14ac:dyDescent="0.35">
      <c r="A15" s="1" t="s">
        <v>42</v>
      </c>
      <c r="B15">
        <f>MONTH(B13)</f>
        <v>9</v>
      </c>
      <c r="C15" s="1" t="s">
        <v>46</v>
      </c>
      <c r="D15" t="str">
        <f>TEXT(B13,"MMMM")</f>
        <v>September</v>
      </c>
    </row>
    <row r="16" spans="1:4" x14ac:dyDescent="0.35">
      <c r="A16" s="1" t="s">
        <v>43</v>
      </c>
    </row>
    <row r="17" spans="1:1" x14ac:dyDescent="0.35">
      <c r="A17" s="1" t="s">
        <v>44</v>
      </c>
    </row>
    <row r="18" spans="1:1" x14ac:dyDescent="0.35">
      <c r="A18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BAF-7833-4DCC-9586-8BE882E4106B}">
  <dimension ref="A1:E16"/>
  <sheetViews>
    <sheetView workbookViewId="0">
      <selection activeCell="E8" sqref="E8"/>
    </sheetView>
  </sheetViews>
  <sheetFormatPr defaultRowHeight="14.5" x14ac:dyDescent="0.35"/>
  <cols>
    <col min="1" max="1" width="23.81640625" customWidth="1"/>
  </cols>
  <sheetData>
    <row r="1" spans="1:5" x14ac:dyDescent="0.35">
      <c r="A1" s="8" t="s">
        <v>30</v>
      </c>
      <c r="B1" s="8"/>
      <c r="C1" s="8"/>
      <c r="D1" s="8"/>
      <c r="E1" s="8"/>
    </row>
    <row r="2" spans="1:5" x14ac:dyDescent="0.35">
      <c r="A2" s="8"/>
      <c r="B2" s="8"/>
      <c r="C2" s="8"/>
      <c r="D2" s="8"/>
      <c r="E2" s="8"/>
    </row>
    <row r="3" spans="1:5" x14ac:dyDescent="0.35">
      <c r="A3" s="3"/>
      <c r="B3" s="3" t="s">
        <v>21</v>
      </c>
      <c r="C3" s="3" t="s">
        <v>22</v>
      </c>
      <c r="D3" s="3" t="s">
        <v>23</v>
      </c>
      <c r="E3" s="3" t="s">
        <v>24</v>
      </c>
    </row>
    <row r="4" spans="1:5" x14ac:dyDescent="0.35">
      <c r="A4" s="3" t="s">
        <v>20</v>
      </c>
      <c r="B4" s="4">
        <v>6700</v>
      </c>
      <c r="C4" s="4" cm="1">
        <f t="array" ref="C4:C6">sales*saleprice</f>
        <v>11725</v>
      </c>
      <c r="D4" s="4" cm="1">
        <f t="array" ref="D4:D6">(ingredients*sales)+(overheads*sales)</f>
        <v>5360</v>
      </c>
      <c r="E4" s="4" cm="1">
        <f t="array" ref="E4:E6">revenue-costs</f>
        <v>6365</v>
      </c>
    </row>
    <row r="5" spans="1:5" x14ac:dyDescent="0.35">
      <c r="A5" s="3" t="s">
        <v>28</v>
      </c>
      <c r="B5" s="4">
        <v>4500</v>
      </c>
      <c r="C5" s="4">
        <v>7875</v>
      </c>
      <c r="D5" s="4">
        <v>3600</v>
      </c>
      <c r="E5" s="4">
        <v>4275</v>
      </c>
    </row>
    <row r="6" spans="1:5" x14ac:dyDescent="0.35">
      <c r="A6" s="3" t="s">
        <v>29</v>
      </c>
      <c r="B6" s="4">
        <v>2100</v>
      </c>
      <c r="C6" s="4">
        <v>3675</v>
      </c>
      <c r="D6" s="4">
        <v>1680</v>
      </c>
      <c r="E6" s="4">
        <v>1995</v>
      </c>
    </row>
    <row r="8" spans="1:5" x14ac:dyDescent="0.35">
      <c r="A8" s="3" t="s">
        <v>25</v>
      </c>
      <c r="B8" s="4">
        <v>0.32</v>
      </c>
      <c r="E8" s="2"/>
    </row>
    <row r="9" spans="1:5" x14ac:dyDescent="0.35">
      <c r="A9" s="3" t="s">
        <v>26</v>
      </c>
      <c r="B9" s="4">
        <v>1.75</v>
      </c>
    </row>
    <row r="10" spans="1:5" x14ac:dyDescent="0.35">
      <c r="A10" s="3" t="s">
        <v>27</v>
      </c>
      <c r="B10" s="4">
        <v>0.48</v>
      </c>
    </row>
    <row r="13" spans="1:5" x14ac:dyDescent="0.35">
      <c r="A13" s="1" t="s">
        <v>34</v>
      </c>
    </row>
    <row r="14" spans="1:5" x14ac:dyDescent="0.35">
      <c r="A14" t="s">
        <v>31</v>
      </c>
    </row>
    <row r="15" spans="1:5" x14ac:dyDescent="0.35">
      <c r="A15" t="s">
        <v>32</v>
      </c>
    </row>
    <row r="16" spans="1:5" x14ac:dyDescent="0.35">
      <c r="A16" t="s">
        <v>33</v>
      </c>
    </row>
  </sheetData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BB37-1F8A-46C1-9635-4A8D1B74F754}">
  <dimension ref="A1:N21"/>
  <sheetViews>
    <sheetView tabSelected="1" workbookViewId="0">
      <selection activeCell="J12" sqref="J12"/>
    </sheetView>
  </sheetViews>
  <sheetFormatPr defaultRowHeight="14.5" x14ac:dyDescent="0.35"/>
  <cols>
    <col min="9" max="9" width="9.6328125" customWidth="1"/>
    <col min="10" max="10" width="10.1796875" customWidth="1"/>
    <col min="11" max="11" width="11.08984375" customWidth="1"/>
    <col min="12" max="12" width="11.90625" customWidth="1"/>
    <col min="13" max="13" width="24.90625" customWidth="1"/>
  </cols>
  <sheetData>
    <row r="1" spans="1:14" x14ac:dyDescent="0.35">
      <c r="A1">
        <v>1</v>
      </c>
      <c r="B1">
        <v>1</v>
      </c>
      <c r="C1">
        <v>2</v>
      </c>
      <c r="D1">
        <v>5</v>
      </c>
      <c r="E1" t="s">
        <v>47</v>
      </c>
      <c r="F1" s="9">
        <v>808</v>
      </c>
      <c r="G1" t="s">
        <v>54</v>
      </c>
      <c r="I1" s="3" t="s">
        <v>58</v>
      </c>
      <c r="J1" s="3" t="s">
        <v>59</v>
      </c>
      <c r="K1" s="3" t="s">
        <v>60</v>
      </c>
      <c r="L1" s="3" t="s">
        <v>74</v>
      </c>
      <c r="M1" s="3" t="s">
        <v>85</v>
      </c>
      <c r="N1" s="3" t="s">
        <v>93</v>
      </c>
    </row>
    <row r="2" spans="1:14" x14ac:dyDescent="0.35">
      <c r="A2">
        <v>1</v>
      </c>
      <c r="B2">
        <v>2</v>
      </c>
      <c r="C2">
        <v>6</v>
      </c>
      <c r="D2">
        <v>10</v>
      </c>
      <c r="E2" t="s">
        <v>48</v>
      </c>
      <c r="F2" s="9">
        <v>808</v>
      </c>
      <c r="G2" t="s">
        <v>55</v>
      </c>
      <c r="I2" s="4" t="s">
        <v>61</v>
      </c>
      <c r="J2" s="4" t="s">
        <v>68</v>
      </c>
      <c r="K2" s="4" t="s">
        <v>82</v>
      </c>
      <c r="L2" s="4" t="s">
        <v>75</v>
      </c>
      <c r="M2" s="10" t="s">
        <v>86</v>
      </c>
      <c r="N2" s="4">
        <v>44</v>
      </c>
    </row>
    <row r="3" spans="1:14" x14ac:dyDescent="0.35">
      <c r="A3">
        <v>1</v>
      </c>
      <c r="B3">
        <v>3</v>
      </c>
      <c r="C3">
        <v>10</v>
      </c>
      <c r="D3">
        <v>15</v>
      </c>
      <c r="E3" t="s">
        <v>49</v>
      </c>
      <c r="F3" s="9">
        <v>808</v>
      </c>
      <c r="G3" t="s">
        <v>56</v>
      </c>
      <c r="I3" s="4" t="s">
        <v>62</v>
      </c>
      <c r="J3" s="4" t="s">
        <v>69</v>
      </c>
      <c r="K3" s="4" t="s">
        <v>83</v>
      </c>
      <c r="L3" s="4" t="s">
        <v>76</v>
      </c>
      <c r="M3" s="10" t="s">
        <v>87</v>
      </c>
      <c r="N3" s="4">
        <v>22</v>
      </c>
    </row>
    <row r="4" spans="1:14" x14ac:dyDescent="0.35">
      <c r="A4">
        <v>1</v>
      </c>
      <c r="B4">
        <v>4</v>
      </c>
      <c r="C4">
        <v>14</v>
      </c>
      <c r="D4">
        <v>20</v>
      </c>
      <c r="E4" t="s">
        <v>50</v>
      </c>
      <c r="F4" s="9">
        <v>808</v>
      </c>
      <c r="G4" t="s">
        <v>57</v>
      </c>
      <c r="I4" s="4" t="s">
        <v>63</v>
      </c>
      <c r="J4" s="4" t="s">
        <v>68</v>
      </c>
      <c r="K4" s="4" t="s">
        <v>83</v>
      </c>
      <c r="L4" s="4" t="s">
        <v>77</v>
      </c>
      <c r="M4" s="10" t="s">
        <v>88</v>
      </c>
      <c r="N4" s="4">
        <v>22</v>
      </c>
    </row>
    <row r="5" spans="1:14" x14ac:dyDescent="0.35">
      <c r="A5">
        <v>1</v>
      </c>
      <c r="B5">
        <v>5</v>
      </c>
      <c r="C5">
        <v>18</v>
      </c>
      <c r="D5">
        <v>25</v>
      </c>
      <c r="E5" t="s">
        <v>51</v>
      </c>
      <c r="F5" s="9">
        <v>808</v>
      </c>
      <c r="G5" t="s">
        <v>54</v>
      </c>
      <c r="I5" s="4" t="s">
        <v>64</v>
      </c>
      <c r="J5" s="4" t="s">
        <v>70</v>
      </c>
      <c r="K5" s="4" t="s">
        <v>84</v>
      </c>
      <c r="L5" s="4" t="s">
        <v>78</v>
      </c>
      <c r="M5" s="10" t="s">
        <v>89</v>
      </c>
      <c r="N5" s="4">
        <v>55</v>
      </c>
    </row>
    <row r="6" spans="1:14" x14ac:dyDescent="0.35">
      <c r="A6">
        <v>1</v>
      </c>
      <c r="B6">
        <v>6</v>
      </c>
      <c r="C6">
        <v>22</v>
      </c>
      <c r="D6">
        <v>30</v>
      </c>
      <c r="E6" t="s">
        <v>52</v>
      </c>
      <c r="F6" s="9">
        <v>808</v>
      </c>
      <c r="G6" t="s">
        <v>55</v>
      </c>
      <c r="I6" s="4" t="s">
        <v>65</v>
      </c>
      <c r="J6" s="4" t="s">
        <v>71</v>
      </c>
      <c r="K6" s="4" t="s">
        <v>82</v>
      </c>
      <c r="L6" s="4" t="s">
        <v>79</v>
      </c>
      <c r="M6" s="10" t="s">
        <v>90</v>
      </c>
      <c r="N6" s="4">
        <v>44</v>
      </c>
    </row>
    <row r="7" spans="1:14" x14ac:dyDescent="0.35">
      <c r="A7">
        <v>1</v>
      </c>
      <c r="B7">
        <v>7</v>
      </c>
      <c r="C7">
        <v>26</v>
      </c>
      <c r="D7">
        <v>35</v>
      </c>
      <c r="E7" t="s">
        <v>53</v>
      </c>
      <c r="F7" s="9">
        <v>808</v>
      </c>
      <c r="G7" t="s">
        <v>56</v>
      </c>
      <c r="I7" s="4" t="s">
        <v>66</v>
      </c>
      <c r="J7" s="4" t="s">
        <v>72</v>
      </c>
      <c r="K7" s="4" t="s">
        <v>84</v>
      </c>
      <c r="L7" s="4" t="s">
        <v>80</v>
      </c>
      <c r="M7" s="10" t="s">
        <v>91</v>
      </c>
      <c r="N7" s="4">
        <v>55</v>
      </c>
    </row>
    <row r="8" spans="1:14" x14ac:dyDescent="0.35">
      <c r="A8">
        <v>1</v>
      </c>
      <c r="B8">
        <v>8</v>
      </c>
      <c r="C8">
        <v>30</v>
      </c>
      <c r="D8">
        <v>40</v>
      </c>
      <c r="E8" t="s">
        <v>47</v>
      </c>
      <c r="F8" s="9">
        <v>808</v>
      </c>
      <c r="G8" t="s">
        <v>57</v>
      </c>
      <c r="I8" s="4" t="s">
        <v>67</v>
      </c>
      <c r="J8" s="4" t="s">
        <v>73</v>
      </c>
      <c r="K8" s="4" t="s">
        <v>82</v>
      </c>
      <c r="L8" s="4" t="s">
        <v>81</v>
      </c>
      <c r="M8" s="10" t="s">
        <v>92</v>
      </c>
      <c r="N8" s="4">
        <v>44</v>
      </c>
    </row>
    <row r="9" spans="1:14" x14ac:dyDescent="0.35">
      <c r="A9">
        <v>1</v>
      </c>
      <c r="B9">
        <v>9</v>
      </c>
      <c r="C9">
        <v>34</v>
      </c>
      <c r="D9">
        <v>45</v>
      </c>
      <c r="E9" t="s">
        <v>48</v>
      </c>
      <c r="F9" s="9">
        <v>808</v>
      </c>
      <c r="G9" t="s">
        <v>54</v>
      </c>
    </row>
    <row r="10" spans="1:14" x14ac:dyDescent="0.35">
      <c r="A10">
        <v>1</v>
      </c>
      <c r="B10">
        <v>10</v>
      </c>
      <c r="C10">
        <v>38</v>
      </c>
      <c r="D10">
        <v>50</v>
      </c>
      <c r="E10" t="s">
        <v>49</v>
      </c>
      <c r="F10" s="9">
        <v>808</v>
      </c>
      <c r="G10" t="s">
        <v>55</v>
      </c>
    </row>
    <row r="11" spans="1:14" x14ac:dyDescent="0.35">
      <c r="A11">
        <v>1</v>
      </c>
      <c r="B11">
        <v>11</v>
      </c>
      <c r="C11">
        <v>42</v>
      </c>
      <c r="D11">
        <v>55</v>
      </c>
      <c r="E11" t="s">
        <v>50</v>
      </c>
      <c r="F11" s="9">
        <v>808</v>
      </c>
      <c r="G11" t="s">
        <v>56</v>
      </c>
    </row>
    <row r="13" spans="1:14" x14ac:dyDescent="0.35">
      <c r="A13">
        <v>1</v>
      </c>
      <c r="B13">
        <v>1</v>
      </c>
    </row>
    <row r="14" spans="1:14" x14ac:dyDescent="0.35">
      <c r="A14">
        <v>1</v>
      </c>
      <c r="B14">
        <v>2</v>
      </c>
    </row>
    <row r="15" spans="1:14" x14ac:dyDescent="0.35">
      <c r="A15">
        <v>1</v>
      </c>
      <c r="B15">
        <v>3</v>
      </c>
    </row>
    <row r="16" spans="1:14" x14ac:dyDescent="0.35">
      <c r="A16">
        <v>1</v>
      </c>
      <c r="B16">
        <v>4</v>
      </c>
    </row>
    <row r="17" spans="1:2" x14ac:dyDescent="0.35">
      <c r="A17">
        <v>1</v>
      </c>
      <c r="B17">
        <v>5</v>
      </c>
    </row>
    <row r="18" spans="1:2" x14ac:dyDescent="0.35">
      <c r="A18">
        <v>1</v>
      </c>
      <c r="B18">
        <v>6</v>
      </c>
    </row>
    <row r="19" spans="1:2" x14ac:dyDescent="0.35">
      <c r="A19">
        <v>1</v>
      </c>
      <c r="B19">
        <v>7</v>
      </c>
    </row>
    <row r="20" spans="1:2" x14ac:dyDescent="0.35">
      <c r="A20">
        <v>1</v>
      </c>
      <c r="B20">
        <v>8</v>
      </c>
    </row>
    <row r="21" spans="1:2" x14ac:dyDescent="0.35">
      <c r="A21">
        <v>1</v>
      </c>
      <c r="B21">
        <v>9</v>
      </c>
    </row>
  </sheetData>
  <phoneticPr fontId="2" type="noConversion"/>
  <hyperlinks>
    <hyperlink ref="M2" r:id="rId1" xr:uid="{E37CBBC3-3CB2-454A-95F3-065ED4514F5D}"/>
    <hyperlink ref="M3" r:id="rId2" xr:uid="{6BCD8EAC-BDED-489C-8F51-3820F1C7E457}"/>
    <hyperlink ref="M4" r:id="rId3" xr:uid="{AC70DC2C-F262-4E8E-98ED-ECA62D06E7B1}"/>
    <hyperlink ref="M5" r:id="rId4" xr:uid="{242DC499-062A-4A7D-9418-ED0EC6145555}"/>
    <hyperlink ref="M6" r:id="rId5" xr:uid="{028CA256-1618-4D58-B72B-E36B8AB523A1}"/>
    <hyperlink ref="M7" r:id="rId6" xr:uid="{262F53BA-BF05-4A0B-A4B7-A2C41784EB00}"/>
    <hyperlink ref="M8" r:id="rId7" xr:uid="{191C247D-93CF-49E9-9153-42FF91CF014A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Sheet2</vt:lpstr>
      <vt:lpstr>Sem 1</vt:lpstr>
      <vt:lpstr>Sem 2</vt:lpstr>
      <vt:lpstr>Consolidation</vt:lpstr>
      <vt:lpstr>Text_function</vt:lpstr>
      <vt:lpstr>Sheet3</vt:lpstr>
      <vt:lpstr>Sheet4</vt:lpstr>
      <vt:lpstr>costs</vt:lpstr>
      <vt:lpstr>ingredients</vt:lpstr>
      <vt:lpstr>overheads</vt:lpstr>
      <vt:lpstr>revenue</vt:lpstr>
      <vt:lpstr>saleprice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Devendra</dc:creator>
  <cp:lastModifiedBy>Megana Devendra</cp:lastModifiedBy>
  <cp:lastPrinted>2026-09-04T11:50:14Z</cp:lastPrinted>
  <dcterms:created xsi:type="dcterms:W3CDTF">2026-09-02T11:59:28Z</dcterms:created>
  <dcterms:modified xsi:type="dcterms:W3CDTF">2026-09-04T12:22:21Z</dcterms:modified>
</cp:coreProperties>
</file>